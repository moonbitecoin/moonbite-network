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Emission Schedule" sheetId="3" state="visible" r:id="rId3"/>
    <sheet xmlns:r="http://schemas.openxmlformats.org/officeDocument/2006/relationships" name="Hardware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E+00"/>
    <numFmt numFmtId="166" formatCode="0.0000%"/>
    <numFmt numFmtId="167" formatCode="#,##0.0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</font>
    <font>
      <name val="Arial"/>
      <i val="1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pivotButton="0" quotePrefix="0" xfId="0"/>
    <xf numFmtId="3" fontId="7" fillId="4" borderId="1" pivotButton="0" quotePrefix="0" xfId="0"/>
    <xf numFmtId="164" fontId="7" fillId="4" borderId="1" pivotButton="0" quotePrefix="0" xfId="0"/>
    <xf numFmtId="4" fontId="7" fillId="4" borderId="1" pivotButton="0" quotePrefix="0" xfId="0"/>
    <xf numFmtId="0" fontId="6" fillId="0" borderId="0" pivotButton="0" quotePrefix="0" xfId="0"/>
    <xf numFmtId="3" fontId="4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3" borderId="1" pivotButton="0" quotePrefix="0" xfId="0"/>
    <xf numFmtId="0" fontId="4" fillId="0" borderId="0" pivotButton="0" quotePrefix="0" xfId="0"/>
    <xf numFmtId="0" fontId="3" fillId="0" borderId="0" pivotButton="0" quotePrefix="0" xfId="0"/>
    <xf numFmtId="3" fontId="3" fillId="0" borderId="1" pivotButton="0" quotePrefix="0" xfId="0"/>
    <xf numFmtId="3" fontId="5" fillId="4" borderId="0" pivotButton="0" quotePrefix="0" xfId="0"/>
    <xf numFmtId="0" fontId="5" fillId="4" borderId="0" pivotButton="0" quotePrefix="0" xfId="0"/>
    <xf numFmtId="3" fontId="3" fillId="4" borderId="0" pivotButton="0" quotePrefix="0" xfId="0"/>
    <xf numFmtId="3" fontId="3" fillId="0" borderId="0" pivotButton="0" quotePrefix="0" xfId="0"/>
    <xf numFmtId="164" fontId="3" fillId="0" borderId="0" pivotButton="0" quotePrefix="0" xfId="0"/>
    <xf numFmtId="4" fontId="3" fillId="0" borderId="0" pivotButton="0" quotePrefix="0" xfId="0"/>
    <xf numFmtId="3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164" fontId="7" fillId="4" borderId="0" pivotButton="0" quotePrefix="0" xfId="0"/>
    <xf numFmtId="166" fontId="3" fillId="0" borderId="1" pivotButton="0" quotePrefix="0" xfId="0"/>
    <xf numFmtId="167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BigCoin</author>
  </authors>
  <commentList>
    <comment ref="B8" authorId="0" shapeId="0">
      <text>
        <t>2^32 = 4,294,967,296. Expected hashes to find a block = difficulty x 2^32.</t>
      </text>
    </comment>
    <comment ref="B16" authorId="0" shapeId="0">
      <text>
        <t>Antminer L7: 9,500 MH/s = 9.5 GH/s, ~3425W. Source: Bitmain spec sheet.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0" customWidth="1" min="3" max="3"/>
    <col width="6" customWidth="1" min="4" max="4"/>
  </cols>
  <sheetData>
    <row r="1">
      <c r="A1" s="1" t="inlineStr">
        <is>
          <t>BigCoin — Time to Mine 15,000,000 Coins (Litecoin/Scrypt fork)</t>
        </is>
      </c>
    </row>
    <row r="2"/>
    <row r="3">
      <c r="A3" s="2" t="inlineStr">
        <is>
          <t>Two honest models. On a LIVE network, difficulty retargeting fixes the calendar time regardless of hardware — so the CPU/GPU/ASIC race only exists when you solo-mine an isolated chain at a fixed low difficulty (Model A), or it shows up as your SHARE of a live network (Model B).</t>
        </is>
      </c>
    </row>
    <row r="4"/>
    <row r="5"/>
    <row r="6"/>
    <row r="7">
      <c r="A7" s="3" t="inlineStr">
        <is>
          <t>Headline figures</t>
        </is>
      </c>
    </row>
    <row r="8">
      <c r="A8" s="4" t="inlineStr">
        <is>
          <t>Metric</t>
        </is>
      </c>
      <c r="B8" s="4" t="inlineStr">
        <is>
          <t>Value</t>
        </is>
      </c>
      <c r="C8" s="4" t="inlineStr">
        <is>
          <t>Unit</t>
        </is>
      </c>
      <c r="D8" s="4" t="inlineStr"/>
    </row>
    <row r="9">
      <c r="A9" s="5" t="inlineStr">
        <is>
          <t>Blocks to reach 15,000,000 BIG</t>
        </is>
      </c>
      <c r="B9" s="6">
        <f>'Emission Schedule'!$B$17</f>
        <v/>
      </c>
      <c r="C9" s="5" t="inlineStr">
        <is>
          <t>blocks</t>
        </is>
      </c>
    </row>
    <row r="10">
      <c r="A10" s="5" t="inlineStr">
        <is>
          <t>Live-network calendar time (any hardware)</t>
        </is>
      </c>
      <c r="B10" s="7">
        <f>'Emission Schedule'!$B$20</f>
        <v/>
      </c>
      <c r="C10" s="5" t="inlineStr">
        <is>
          <t>days</t>
        </is>
      </c>
    </row>
    <row r="11">
      <c r="A11" s="5" t="inlineStr">
        <is>
          <t>Solo @ diff-1 — CPU</t>
        </is>
      </c>
      <c r="B11" s="8">
        <f>'Hardware Comparison'!G6</f>
        <v/>
      </c>
      <c r="C11" s="5" t="inlineStr">
        <is>
          <t>years</t>
        </is>
      </c>
    </row>
    <row r="12">
      <c r="A12" s="5" t="inlineStr">
        <is>
          <t>Solo @ diff-1 — GPU</t>
        </is>
      </c>
      <c r="B12" s="8">
        <f>'Hardware Comparison'!G7</f>
        <v/>
      </c>
      <c r="C12" s="5" t="inlineStr">
        <is>
          <t>years</t>
        </is>
      </c>
    </row>
    <row r="13">
      <c r="A13" s="5" t="inlineStr">
        <is>
          <t>Solo @ diff-1 — ASIC (L7)</t>
        </is>
      </c>
      <c r="B13" s="8">
        <f>'Hardware Comparison'!F8</f>
        <v/>
      </c>
      <c r="C13" s="5" t="inlineStr">
        <is>
          <t>days</t>
        </is>
      </c>
    </row>
    <row r="14"/>
    <row r="15"/>
    <row r="16">
      <c r="A16" s="9" t="inlineStr">
        <is>
          <t>See 'Assumptions' to change inputs; 'Emission Schedule' and 'Hardware Comparison' for the math.</t>
        </is>
      </c>
    </row>
  </sheetData>
  <mergeCells count="3">
    <mergeCell ref="A1:D1"/>
    <mergeCell ref="A3:D5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52" customWidth="1" min="4" max="4"/>
  </cols>
  <sheetData>
    <row r="1">
      <c r="A1" s="1" t="inlineStr">
        <is>
          <t>BigCoin Mining Estimate — Assumptions (Litecoin / Scrypt fork)</t>
        </is>
      </c>
    </row>
    <row r="2"/>
    <row r="3">
      <c r="A3" s="4" t="inlineStr">
        <is>
          <t>Parameter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Notes / Source</t>
        </is>
      </c>
    </row>
    <row r="4">
      <c r="A4" s="5" t="inlineStr">
        <is>
          <t>Total circulation target</t>
        </is>
      </c>
      <c r="B4" s="10" t="n">
        <v>15000000</v>
      </c>
      <c r="C4" s="5" t="inlineStr">
        <is>
          <t>BIG</t>
        </is>
      </c>
      <c r="D4" s="11" t="inlineStr">
        <is>
          <t>User-specified target to mine.</t>
        </is>
      </c>
    </row>
    <row r="5">
      <c r="A5" s="5" t="inlineStr">
        <is>
          <t>Initial block reward</t>
        </is>
      </c>
      <c r="B5" s="12" t="n">
        <v>50</v>
      </c>
      <c r="C5" s="5" t="inlineStr">
        <is>
          <t>BIG/block</t>
        </is>
      </c>
      <c r="D5" s="11" t="inlineStr">
        <is>
          <t>BigCoin genesis reward (Litecoin-style).</t>
        </is>
      </c>
    </row>
    <row r="6">
      <c r="A6" s="5" t="inlineStr">
        <is>
          <t>Block time</t>
        </is>
      </c>
      <c r="B6" s="12" t="n">
        <v>150</v>
      </c>
      <c r="C6" s="5" t="inlineStr">
        <is>
          <t>seconds</t>
        </is>
      </c>
      <c r="D6" s="11" t="inlineStr">
        <is>
          <t>2.5 minutes — Litecoin target spacing.</t>
        </is>
      </c>
    </row>
    <row r="7">
      <c r="A7" s="5" t="inlineStr">
        <is>
          <t>Halving interval</t>
        </is>
      </c>
      <c r="B7" s="10" t="n">
        <v>840000</v>
      </c>
      <c r="C7" s="5" t="inlineStr">
        <is>
          <t>blocks</t>
        </is>
      </c>
      <c r="D7" s="11" t="inlineStr">
        <is>
          <t>Litecoin schedule (reward halves each interval).</t>
        </is>
      </c>
    </row>
    <row r="8">
      <c r="A8" s="5" t="inlineStr">
        <is>
          <t>Scrypt difficulty-1 work</t>
        </is>
      </c>
      <c r="B8" s="10" t="n">
        <v>4294967296</v>
      </c>
      <c r="C8" s="5" t="inlineStr">
        <is>
          <t>hashes</t>
        </is>
      </c>
      <c r="D8" s="11" t="inlineStr">
        <is>
          <t>2^32 — hashes per block at difficulty 1 (Bitcoin/Litecoin definition).</t>
        </is>
      </c>
    </row>
    <row r="9">
      <c r="A9" s="5" t="inlineStr">
        <is>
          <t>Solo mining difficulty</t>
        </is>
      </c>
      <c r="B9" s="12" t="n">
        <v>1</v>
      </c>
      <c r="C9" s="5" t="inlineStr">
        <is>
          <t>(unitless)</t>
        </is>
      </c>
      <c r="D9" s="11" t="inlineStr">
        <is>
          <t>Fresh-fork minimum. RAISE THIS to model a harder/established chain.</t>
        </is>
      </c>
    </row>
    <row r="10">
      <c r="A10" s="5" t="inlineStr">
        <is>
          <t>Assumed network hashrate</t>
        </is>
      </c>
      <c r="B10" s="10" t="n">
        <v>1000000000000</v>
      </c>
      <c r="C10" s="5" t="inlineStr">
        <is>
          <t>H/s</t>
        </is>
      </c>
      <c r="D10" s="11" t="inlineStr">
        <is>
          <t>1 TH/s — for the 'share of network' model only. Adjust to your network.</t>
        </is>
      </c>
    </row>
    <row r="11"/>
    <row r="12">
      <c r="A12" s="3" t="inlineStr">
        <is>
          <t>Mining hardware (Scrypt)</t>
        </is>
      </c>
    </row>
    <row r="13">
      <c r="A13" s="4" t="inlineStr">
        <is>
          <t>Hardware</t>
        </is>
      </c>
      <c r="B13" s="4" t="inlineStr">
        <is>
          <t>Hashrate (H/s)</t>
        </is>
      </c>
      <c r="C13" s="4" t="inlineStr">
        <is>
          <t>Power (W)</t>
        </is>
      </c>
      <c r="D13" s="4" t="inlineStr">
        <is>
          <t>Notes / Source</t>
        </is>
      </c>
    </row>
    <row r="14">
      <c r="A14" s="5" t="inlineStr">
        <is>
          <t>CPU (modern desktop x86)</t>
        </is>
      </c>
      <c r="B14" s="10" t="n">
        <v>50000</v>
      </c>
      <c r="C14" s="10" t="n">
        <v>95</v>
      </c>
      <c r="D14" s="11" t="inlineStr">
        <is>
          <t>~50 KH/s Scrypt; typical multi-core desktop CPU.</t>
        </is>
      </c>
    </row>
    <row r="15">
      <c r="A15" s="5" t="inlineStr">
        <is>
          <t>GPU (high-end)</t>
        </is>
      </c>
      <c r="B15" s="10" t="n">
        <v>750000</v>
      </c>
      <c r="C15" s="10" t="n">
        <v>200</v>
      </c>
      <c r="D15" s="11" t="inlineStr">
        <is>
          <t>~0.75 MH/s Scrypt; modern high-end GPU.</t>
        </is>
      </c>
    </row>
    <row r="16">
      <c r="A16" s="5" t="inlineStr">
        <is>
          <t>ASIC (Bitmain Antminer L7)</t>
        </is>
      </c>
      <c r="B16" s="10" t="n">
        <v>9500000000</v>
      </c>
      <c r="C16" s="10" t="n">
        <v>3425</v>
      </c>
      <c r="D16" s="11" t="inlineStr">
        <is>
          <t>9.5 GH/s @ 3425 W — Bitmain L7 published spec.</t>
        </is>
      </c>
    </row>
    <row r="17"/>
    <row r="18">
      <c r="A18" s="3" t="inlineStr">
        <is>
          <t>Legend:</t>
        </is>
      </c>
    </row>
    <row r="19">
      <c r="A19" s="13" t="inlineStr">
        <is>
          <t>Yellow / blue text = input you can edit.</t>
        </is>
      </c>
    </row>
    <row r="20">
      <c r="A20" s="14" t="inlineStr">
        <is>
          <t>Black = formula.  Green = value pulled from another sheet.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  <col width="24" customWidth="1" min="7" max="7"/>
    <col width="18" customWidth="1" min="8" max="8"/>
  </cols>
  <sheetData>
    <row r="1">
      <c r="A1" s="1" t="inlineStr">
        <is>
          <t>Emission Schedule &amp; Blocks to Reach Target</t>
        </is>
      </c>
    </row>
    <row r="2">
      <c r="A2" s="2" t="inlineStr">
        <is>
          <t>Reward halves every interval. 15M is reached in Epoch 0 (before the first halving at 42M emitted), so reward stays 50 BIG the whole way.</t>
        </is>
      </c>
    </row>
    <row r="3"/>
    <row r="4">
      <c r="A4" s="4" t="inlineStr">
        <is>
          <t>Epoch</t>
        </is>
      </c>
      <c r="B4" s="4" t="inlineStr">
        <is>
          <t>Block Reward (BIG)</t>
        </is>
      </c>
      <c r="C4" s="4" t="inlineStr">
        <is>
          <t>Halving Interval (blocks)</t>
        </is>
      </c>
      <c r="D4" s="4" t="inlineStr">
        <is>
          <t>Coins in Epoch (BIG)</t>
        </is>
      </c>
      <c r="E4" s="4" t="inlineStr">
        <is>
          <t>Cumulative Before (BIG)</t>
        </is>
      </c>
      <c r="F4" s="4" t="inlineStr">
        <is>
          <t>Cumulative After (BIG)</t>
        </is>
      </c>
      <c r="G4" s="4" t="inlineStr">
        <is>
          <t>Remaining to Target Before (BIG)</t>
        </is>
      </c>
      <c r="H4" s="4" t="inlineStr">
        <is>
          <t>Blocks Toward Target</t>
        </is>
      </c>
    </row>
    <row r="5">
      <c r="A5" s="5" t="n">
        <v>0</v>
      </c>
      <c r="B5" s="15">
        <f>Assumptions!$B$5/2^A5</f>
        <v/>
      </c>
      <c r="C5" s="5">
        <f>Assumptions!$B$7</f>
        <v/>
      </c>
      <c r="D5" s="15">
        <f>B5*C5</f>
        <v/>
      </c>
      <c r="E5" s="15" t="n">
        <v>0</v>
      </c>
      <c r="F5" s="15">
        <f>E5+D5</f>
        <v/>
      </c>
      <c r="G5" s="15">
        <f>MAX(0,Assumptions!$B$4-E5)</f>
        <v/>
      </c>
      <c r="H5" s="15">
        <f>IF(G5&lt;=0,0,MIN(C5,ROUNDUP(G5/B5,0)))</f>
        <v/>
      </c>
    </row>
    <row r="6">
      <c r="A6" s="5" t="n">
        <v>1</v>
      </c>
      <c r="B6" s="15">
        <f>Assumptions!$B$5/2^A6</f>
        <v/>
      </c>
      <c r="C6" s="5">
        <f>Assumptions!$B$7</f>
        <v/>
      </c>
      <c r="D6" s="15">
        <f>B6*C6</f>
        <v/>
      </c>
      <c r="E6" s="15">
        <f>F5</f>
        <v/>
      </c>
      <c r="F6" s="15">
        <f>E6+D6</f>
        <v/>
      </c>
      <c r="G6" s="15">
        <f>MAX(0,Assumptions!$B$4-E6)</f>
        <v/>
      </c>
      <c r="H6" s="15">
        <f>IF(G6&lt;=0,0,MIN(C6,ROUNDUP(G6/B6,0)))</f>
        <v/>
      </c>
    </row>
    <row r="7">
      <c r="A7" s="5" t="n">
        <v>2</v>
      </c>
      <c r="B7" s="15">
        <f>Assumptions!$B$5/2^A7</f>
        <v/>
      </c>
      <c r="C7" s="5">
        <f>Assumptions!$B$7</f>
        <v/>
      </c>
      <c r="D7" s="15">
        <f>B7*C7</f>
        <v/>
      </c>
      <c r="E7" s="15">
        <f>F6</f>
        <v/>
      </c>
      <c r="F7" s="15">
        <f>E7+D7</f>
        <v/>
      </c>
      <c r="G7" s="15">
        <f>MAX(0,Assumptions!$B$4-E7)</f>
        <v/>
      </c>
      <c r="H7" s="15">
        <f>IF(G7&lt;=0,0,MIN(C7,ROUNDUP(G7/B7,0)))</f>
        <v/>
      </c>
    </row>
    <row r="8">
      <c r="A8" s="5" t="n">
        <v>3</v>
      </c>
      <c r="B8" s="15">
        <f>Assumptions!$B$5/2^A8</f>
        <v/>
      </c>
      <c r="C8" s="5">
        <f>Assumptions!$B$7</f>
        <v/>
      </c>
      <c r="D8" s="15">
        <f>B8*C8</f>
        <v/>
      </c>
      <c r="E8" s="15">
        <f>F7</f>
        <v/>
      </c>
      <c r="F8" s="15">
        <f>E8+D8</f>
        <v/>
      </c>
      <c r="G8" s="15">
        <f>MAX(0,Assumptions!$B$4-E8)</f>
        <v/>
      </c>
      <c r="H8" s="15">
        <f>IF(G8&lt;=0,0,MIN(C8,ROUNDUP(G8/B8,0)))</f>
        <v/>
      </c>
    </row>
    <row r="9">
      <c r="A9" s="5" t="n">
        <v>4</v>
      </c>
      <c r="B9" s="15">
        <f>Assumptions!$B$5/2^A9</f>
        <v/>
      </c>
      <c r="C9" s="5">
        <f>Assumptions!$B$7</f>
        <v/>
      </c>
      <c r="D9" s="15">
        <f>B9*C9</f>
        <v/>
      </c>
      <c r="E9" s="15">
        <f>F8</f>
        <v/>
      </c>
      <c r="F9" s="15">
        <f>E9+D9</f>
        <v/>
      </c>
      <c r="G9" s="15">
        <f>MAX(0,Assumptions!$B$4-E9)</f>
        <v/>
      </c>
      <c r="H9" s="15">
        <f>IF(G9&lt;=0,0,MIN(C9,ROUNDUP(G9/B9,0)))</f>
        <v/>
      </c>
    </row>
    <row r="10">
      <c r="A10" s="5" t="n">
        <v>5</v>
      </c>
      <c r="B10" s="15">
        <f>Assumptions!$B$5/2^A10</f>
        <v/>
      </c>
      <c r="C10" s="5">
        <f>Assumptions!$B$7</f>
        <v/>
      </c>
      <c r="D10" s="15">
        <f>B10*C10</f>
        <v/>
      </c>
      <c r="E10" s="15">
        <f>F9</f>
        <v/>
      </c>
      <c r="F10" s="15">
        <f>E10+D10</f>
        <v/>
      </c>
      <c r="G10" s="15">
        <f>MAX(0,Assumptions!$B$4-E10)</f>
        <v/>
      </c>
      <c r="H10" s="15">
        <f>IF(G10&lt;=0,0,MIN(C10,ROUNDUP(G10/B10,0)))</f>
        <v/>
      </c>
    </row>
    <row r="11">
      <c r="A11" s="5" t="n">
        <v>6</v>
      </c>
      <c r="B11" s="15">
        <f>Assumptions!$B$5/2^A11</f>
        <v/>
      </c>
      <c r="C11" s="5">
        <f>Assumptions!$B$7</f>
        <v/>
      </c>
      <c r="D11" s="15">
        <f>B11*C11</f>
        <v/>
      </c>
      <c r="E11" s="15">
        <f>F10</f>
        <v/>
      </c>
      <c r="F11" s="15">
        <f>E11+D11</f>
        <v/>
      </c>
      <c r="G11" s="15">
        <f>MAX(0,Assumptions!$B$4-E11)</f>
        <v/>
      </c>
      <c r="H11" s="15">
        <f>IF(G11&lt;=0,0,MIN(C11,ROUNDUP(G11/B11,0)))</f>
        <v/>
      </c>
    </row>
    <row r="12">
      <c r="A12" s="5" t="n">
        <v>7</v>
      </c>
      <c r="B12" s="15">
        <f>Assumptions!$B$5/2^A12</f>
        <v/>
      </c>
      <c r="C12" s="5">
        <f>Assumptions!$B$7</f>
        <v/>
      </c>
      <c r="D12" s="15">
        <f>B12*C12</f>
        <v/>
      </c>
      <c r="E12" s="15">
        <f>F11</f>
        <v/>
      </c>
      <c r="F12" s="15">
        <f>E12+D12</f>
        <v/>
      </c>
      <c r="G12" s="15">
        <f>MAX(0,Assumptions!$B$4-E12)</f>
        <v/>
      </c>
      <c r="H12" s="15">
        <f>IF(G12&lt;=0,0,MIN(C12,ROUNDUP(G12/B12,0)))</f>
        <v/>
      </c>
    </row>
    <row r="13">
      <c r="A13" s="5" t="n">
        <v>8</v>
      </c>
      <c r="B13" s="15">
        <f>Assumptions!$B$5/2^A13</f>
        <v/>
      </c>
      <c r="C13" s="5">
        <f>Assumptions!$B$7</f>
        <v/>
      </c>
      <c r="D13" s="15">
        <f>B13*C13</f>
        <v/>
      </c>
      <c r="E13" s="15">
        <f>F12</f>
        <v/>
      </c>
      <c r="F13" s="15">
        <f>E13+D13</f>
        <v/>
      </c>
      <c r="G13" s="15">
        <f>MAX(0,Assumptions!$B$4-E13)</f>
        <v/>
      </c>
      <c r="H13" s="15">
        <f>IF(G13&lt;=0,0,MIN(C13,ROUNDUP(G13/B13,0)))</f>
        <v/>
      </c>
    </row>
    <row r="14">
      <c r="A14" s="5" t="n">
        <v>9</v>
      </c>
      <c r="B14" s="15">
        <f>Assumptions!$B$5/2^A14</f>
        <v/>
      </c>
      <c r="C14" s="5">
        <f>Assumptions!$B$7</f>
        <v/>
      </c>
      <c r="D14" s="15">
        <f>B14*C14</f>
        <v/>
      </c>
      <c r="E14" s="15">
        <f>F13</f>
        <v/>
      </c>
      <c r="F14" s="15">
        <f>E14+D14</f>
        <v/>
      </c>
      <c r="G14" s="15">
        <f>MAX(0,Assumptions!$B$4-E14)</f>
        <v/>
      </c>
      <c r="H14" s="15">
        <f>IF(G14&lt;=0,0,MIN(C14,ROUNDUP(G14/B14,0)))</f>
        <v/>
      </c>
    </row>
    <row r="15">
      <c r="A15" s="3" t="inlineStr">
        <is>
          <t>TOTAL</t>
        </is>
      </c>
      <c r="H15" s="16">
        <f>SUM(H5:H14)</f>
        <v/>
      </c>
    </row>
    <row r="16"/>
    <row r="17">
      <c r="A17" s="17" t="inlineStr">
        <is>
          <t>Blocks to reach target</t>
        </is>
      </c>
      <c r="B17" s="18">
        <f>H15</f>
        <v/>
      </c>
      <c r="C17" s="14" t="inlineStr">
        <is>
          <t>blocks</t>
        </is>
      </c>
    </row>
    <row r="18">
      <c r="A18" s="14" t="inlineStr">
        <is>
          <t>Block time</t>
        </is>
      </c>
      <c r="B18" s="19">
        <f>Assumptions!$B$6</f>
        <v/>
      </c>
      <c r="C18" s="14" t="inlineStr">
        <is>
          <t>seconds</t>
        </is>
      </c>
    </row>
    <row r="19">
      <c r="A19" s="3" t="inlineStr">
        <is>
          <t>Calendar time to target (live network)</t>
        </is>
      </c>
      <c r="B19" s="19">
        <f>B17*B18</f>
        <v/>
      </c>
      <c r="C19" s="14" t="inlineStr">
        <is>
          <t>seconds</t>
        </is>
      </c>
    </row>
    <row r="20">
      <c r="A20" s="14" t="inlineStr">
        <is>
          <t xml:space="preserve">  in days</t>
        </is>
      </c>
      <c r="B20" s="20">
        <f>B19/86400</f>
        <v/>
      </c>
      <c r="C20" s="14" t="inlineStr">
        <is>
          <t>days</t>
        </is>
      </c>
    </row>
    <row r="21">
      <c r="A21" s="14" t="inlineStr">
        <is>
          <t xml:space="preserve">  in years</t>
        </is>
      </c>
      <c r="B21" s="21">
        <f>B20/365.25</f>
        <v/>
      </c>
      <c r="C21" s="14" t="inlineStr">
        <is>
          <t>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2" customWidth="1" min="4" max="4"/>
    <col width="18" customWidth="1" min="5" max="5"/>
    <col width="24" customWidth="1" min="6" max="6"/>
    <col width="22" customWidth="1" min="7" max="7"/>
    <col width="12" customWidth="1" min="8" max="8"/>
    <col width="14" customWidth="1" min="9" max="9"/>
  </cols>
  <sheetData>
    <row r="1">
      <c r="A1" s="1" t="inlineStr">
        <is>
          <t>CPU vs GPU vs ASIC — Time to Mine 15,000,000 BIG</t>
        </is>
      </c>
    </row>
    <row r="2"/>
    <row r="3">
      <c r="A3" s="3" t="inlineStr">
        <is>
          <t>MODEL A — Solo mining at FIXED difficulty (brand-new / isolated chain, hashrate-bound)</t>
        </is>
      </c>
    </row>
    <row r="4">
      <c r="A4" s="2" t="inlineStr">
        <is>
          <t>Time = Blocks to target x Difficulty x 2^32 / Hashrate. This is where hardware matters. Uses 'Solo mining difficulty' from Assumptions (default 1 = fresh fork).</t>
        </is>
      </c>
    </row>
    <row r="5">
      <c r="A5" s="4" t="inlineStr">
        <is>
          <t>Hardware</t>
        </is>
      </c>
      <c r="B5" s="4" t="inlineStr">
        <is>
          <t>Hashrate (H/s)</t>
        </is>
      </c>
      <c r="C5" s="4" t="inlineStr">
        <is>
          <t>Speed vs CPU (x)</t>
        </is>
      </c>
      <c r="D5" s="4" t="inlineStr">
        <is>
          <t>Total Hashes Needed</t>
        </is>
      </c>
      <c r="E5" s="4" t="inlineStr">
        <is>
          <t>Time (seconds)</t>
        </is>
      </c>
      <c r="F5" s="4" t="inlineStr">
        <is>
          <t>Time (days)</t>
        </is>
      </c>
      <c r="G5" s="4" t="inlineStr">
        <is>
          <t>Time (years)</t>
        </is>
      </c>
      <c r="H5" s="4" t="inlineStr">
        <is>
          <t>Power (W)</t>
        </is>
      </c>
      <c r="I5" s="4" t="inlineStr">
        <is>
          <t>Energy (kWh)</t>
        </is>
      </c>
    </row>
    <row r="6">
      <c r="A6" s="5" t="inlineStr">
        <is>
          <t>CPU</t>
        </is>
      </c>
      <c r="B6" s="22">
        <f>Assumptions!$B$14</f>
        <v/>
      </c>
      <c r="C6" s="15">
        <f>B6/$B$6</f>
        <v/>
      </c>
      <c r="D6" s="23">
        <f>'Emission Schedule'!$B$17*Assumptions!$B$9*Assumptions!$B$8</f>
        <v/>
      </c>
      <c r="E6" s="15">
        <f>D6/B6</f>
        <v/>
      </c>
      <c r="F6" s="24">
        <f>E6/86400</f>
        <v/>
      </c>
      <c r="G6" s="25">
        <f>F6/365.25</f>
        <v/>
      </c>
      <c r="H6" s="22">
        <f>Assumptions!$C$14</f>
        <v/>
      </c>
      <c r="I6" s="15">
        <f>H6*E6/3600/1000</f>
        <v/>
      </c>
    </row>
    <row r="7">
      <c r="A7" s="5" t="inlineStr">
        <is>
          <t>GPU</t>
        </is>
      </c>
      <c r="B7" s="22">
        <f>Assumptions!$B$15</f>
        <v/>
      </c>
      <c r="C7" s="15">
        <f>B7/$B$6</f>
        <v/>
      </c>
      <c r="D7" s="23">
        <f>'Emission Schedule'!$B$17*Assumptions!$B$9*Assumptions!$B$8</f>
        <v/>
      </c>
      <c r="E7" s="15">
        <f>D7/B7</f>
        <v/>
      </c>
      <c r="F7" s="24">
        <f>E7/86400</f>
        <v/>
      </c>
      <c r="G7" s="25">
        <f>F7/365.25</f>
        <v/>
      </c>
      <c r="H7" s="22">
        <f>Assumptions!$C$15</f>
        <v/>
      </c>
      <c r="I7" s="15">
        <f>H7*E7/3600/1000</f>
        <v/>
      </c>
    </row>
    <row r="8">
      <c r="A8" s="5" t="inlineStr">
        <is>
          <t>ASIC</t>
        </is>
      </c>
      <c r="B8" s="22">
        <f>Assumptions!$B$16</f>
        <v/>
      </c>
      <c r="C8" s="15">
        <f>B8/$B$6</f>
        <v/>
      </c>
      <c r="D8" s="23">
        <f>'Emission Schedule'!$B$17*Assumptions!$B$9*Assumptions!$B$8</f>
        <v/>
      </c>
      <c r="E8" s="15">
        <f>D8/B8</f>
        <v/>
      </c>
      <c r="F8" s="24">
        <f>E8/86400</f>
        <v/>
      </c>
      <c r="G8" s="25">
        <f>F8/365.25</f>
        <v/>
      </c>
      <c r="H8" s="22">
        <f>Assumptions!$C$16</f>
        <v/>
      </c>
      <c r="I8" s="15">
        <f>H8*E8/3600/1000</f>
        <v/>
      </c>
    </row>
    <row r="9"/>
    <row r="10">
      <c r="A10" s="3" t="inlineStr">
        <is>
          <t>MODEL B — Live network (difficulty retargets to hold 2.5-min blocks)</t>
        </is>
      </c>
    </row>
    <row r="11">
      <c r="A11" s="2" t="inlineStr">
        <is>
          <t>Calendar time to emit 15M is FIXED by the protocol and is the SAME for all hardware (see cell below). Hardware only changes YOUR share of the rewards.</t>
        </is>
      </c>
    </row>
    <row r="12">
      <c r="A12" s="3" t="inlineStr">
        <is>
          <t>Calendar time to mine 15M on live network (all hardware):</t>
        </is>
      </c>
      <c r="F12" s="26">
        <f>'Emission Schedule'!$B$20</f>
        <v/>
      </c>
      <c r="G12" s="14" t="inlineStr">
        <is>
          <t>days</t>
        </is>
      </c>
    </row>
    <row r="13">
      <c r="A13" s="4" t="inlineStr">
        <is>
          <t>Hardware</t>
        </is>
      </c>
      <c r="B13" s="4" t="inlineStr">
        <is>
          <t>Hashrate (H/s)</t>
        </is>
      </c>
      <c r="C13" s="4" t="inlineStr">
        <is>
          <t>Network Hashrate (H/s)</t>
        </is>
      </c>
      <c r="D13" s="4" t="inlineStr">
        <is>
          <t>Your Share</t>
        </is>
      </c>
      <c r="E13" s="4" t="inlineStr">
        <is>
          <t>Expected Coins / Day</t>
        </is>
      </c>
      <c r="F13" s="4" t="inlineStr">
        <is>
          <t>Expected Days per Block (50 BIG)</t>
        </is>
      </c>
      <c r="G13" s="4" t="inlineStr">
        <is>
          <t>Expected Coins over the run</t>
        </is>
      </c>
    </row>
    <row r="14">
      <c r="A14" s="5" t="inlineStr">
        <is>
          <t>CPU</t>
        </is>
      </c>
      <c r="B14" s="22">
        <f>Assumptions!$B$14</f>
        <v/>
      </c>
      <c r="C14" s="22">
        <f>Assumptions!$B$10</f>
        <v/>
      </c>
      <c r="D14" s="27">
        <f>B14/C14</f>
        <v/>
      </c>
      <c r="E14" s="25">
        <f>D14*((86400/Assumptions!$B$6)*Assumptions!$B$5)</f>
        <v/>
      </c>
      <c r="F14" s="28">
        <f>(Assumptions!$B$6/D14)/86400</f>
        <v/>
      </c>
      <c r="G14" s="15">
        <f>D14*Assumptions!$B$4</f>
        <v/>
      </c>
    </row>
    <row r="15">
      <c r="A15" s="5" t="inlineStr">
        <is>
          <t>GPU</t>
        </is>
      </c>
      <c r="B15" s="22">
        <f>Assumptions!$B$15</f>
        <v/>
      </c>
      <c r="C15" s="22">
        <f>Assumptions!$B$10</f>
        <v/>
      </c>
      <c r="D15" s="27">
        <f>B15/C15</f>
        <v/>
      </c>
      <c r="E15" s="25">
        <f>D15*((86400/Assumptions!$B$6)*Assumptions!$B$5)</f>
        <v/>
      </c>
      <c r="F15" s="28">
        <f>(Assumptions!$B$6/D15)/86400</f>
        <v/>
      </c>
      <c r="G15" s="15">
        <f>D15*Assumptions!$B$4</f>
        <v/>
      </c>
    </row>
    <row r="16">
      <c r="A16" s="5" t="inlineStr">
        <is>
          <t>ASIC</t>
        </is>
      </c>
      <c r="B16" s="22">
        <f>Assumptions!$B$16</f>
        <v/>
      </c>
      <c r="C16" s="22">
        <f>Assumptions!$B$10</f>
        <v/>
      </c>
      <c r="D16" s="27">
        <f>B16/C16</f>
        <v/>
      </c>
      <c r="E16" s="25">
        <f>D16*((86400/Assumptions!$B$6)*Assumptions!$B$5)</f>
        <v/>
      </c>
      <c r="F16" s="28">
        <f>(Assumptions!$B$6/D16)/86400</f>
        <v/>
      </c>
      <c r="G16" s="15">
        <f>D16*Assumptions!$B$4</f>
        <v/>
      </c>
    </row>
  </sheetData>
  <mergeCells count="6">
    <mergeCell ref="A12:E12"/>
    <mergeCell ref="A11:I11"/>
    <mergeCell ref="A10:I10"/>
    <mergeCell ref="A1:I1"/>
    <mergeCell ref="A3:I3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2026-07-13T21:25:50Z</dcterms:created>
  <dcterms:modified xmlns:dcterms="http://purl.org/dc/terms/" xmlns:xsi="http://www.w3.org/2001/XMLSchema-instance" xsi:type="dcterms:W3CDTF">2026-07-13T21:25:50Z</dcterms:modified>
</cp:coreProperties>
</file>